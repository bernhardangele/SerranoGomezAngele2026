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n\OneDrive - Universidad Antonio De Nebrija\the_flanker\ella_lexicaldecision\"/>
    </mc:Choice>
  </mc:AlternateContent>
  <xr:revisionPtr revIDLastSave="0" documentId="13_ncr:1_{51A7A387-C81F-452F-81AF-B78E450078A4}" xr6:coauthVersionLast="47" xr6:coauthVersionMax="47" xr10:uidLastSave="{00000000-0000-0000-0000-000000000000}"/>
  <bookViews>
    <workbookView xWindow="28680" yWindow="-120" windowWidth="29040" windowHeight="15720" xr2:uid="{04ACAFB7-F015-4ED4-8348-4D30383DC121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I3" i="1"/>
  <c r="H3" i="1"/>
  <c r="G3" i="1"/>
  <c r="I2" i="1"/>
  <c r="H2" i="1"/>
  <c r="G2" i="1"/>
</calcChain>
</file>

<file path=xl/sharedStrings.xml><?xml version="1.0" encoding="utf-8"?>
<sst xmlns="http://schemas.openxmlformats.org/spreadsheetml/2006/main" count="49" uniqueCount="25">
  <si>
    <t>TrialID</t>
  </si>
  <si>
    <t>StimulusType</t>
  </si>
  <si>
    <t>Condition</t>
  </si>
  <si>
    <t>PrimeDuration</t>
  </si>
  <si>
    <t>Prime</t>
  </si>
  <si>
    <t>corrAns</t>
  </si>
  <si>
    <t>FEM</t>
  </si>
  <si>
    <t>DIS</t>
  </si>
  <si>
    <t>AGR</t>
  </si>
  <si>
    <t>MAS</t>
  </si>
  <si>
    <t>Flanker</t>
  </si>
  <si>
    <t>len</t>
  </si>
  <si>
    <t>NOWORD</t>
  </si>
  <si>
    <t>croz</t>
  </si>
  <si>
    <t>mabo</t>
  </si>
  <si>
    <t>muvor</t>
  </si>
  <si>
    <t>bireo</t>
  </si>
  <si>
    <t>nobad</t>
  </si>
  <si>
    <t>WORD</t>
  </si>
  <si>
    <t>cara</t>
  </si>
  <si>
    <t>masa</t>
  </si>
  <si>
    <t>frío</t>
  </si>
  <si>
    <t>viejo</t>
  </si>
  <si>
    <t>video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</si>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</sst>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ourier New"/>
      <family val="3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49" fontId="0" fillId="0" borderId="0" xfId="0" applyNumberFormat="1"/>
    <xf numFmtId="49" fontId="1" fillId="0" borderId="0" xfId="0" applyNumberFormat="1" applyFont="1"/>
    <xf numFmtId="0" fontId="1" fillId="0" borderId="0" xfId="0" quotePrefix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9719-EFFF-476F-AC64-1B0BD54683B0}">
  <dimension ref="A1:I451"/>
  <sheetViews>
    <sheetView tabSelected="1" zoomScale="130" zoomScaleNormal="130" workbookViewId="0">
      <selection activeCell="A2" sqref="A2:A11"/>
    </sheetView>
  </sheetViews>
  <sheetFormatPr defaultRowHeight="14.4" x14ac:dyDescent="0.3"/>
  <cols>
    <col min="2" max="2" width="12.88671875" style="3" customWidth="1"/>
    <col min="3" max="3" width="8.88671875" style="3"/>
    <col min="4" max="4" width="13.88671875" customWidth="1"/>
    <col min="5" max="5" width="15.33203125" style="6" customWidth="1"/>
    <col min="6" max="6" width="15.33203125" customWidth="1"/>
  </cols>
  <sheetData>
    <row r="1" spans="1:9" x14ac:dyDescent="0.3">
      <c r="A1" t="s">
        <v>0</v>
      </c>
      <c r="B1" t="s">
        <v>24</v>
      </c>
      <c r="C1" t="s">
        <v>1</v>
      </c>
      <c r="D1" t="s">
        <v>2</v>
      </c>
      <c r="E1" t="s">
        <v>3</v>
      </c>
      <c r="F1" s="7" t="s">
        <v>4</v>
      </c>
      <c r="G1" s="7" t="s">
        <v>11</v>
      </c>
      <c r="H1" t="s">
        <v>10</v>
      </c>
      <c r="I1" t="s">
        <v>5</v>
      </c>
    </row>
    <row r="2" spans="1:9" x14ac:dyDescent="0.3">
      <c r="A2" s="1">
        <v>1001</v>
      </c>
      <c r="B2" s="1" t="s">
        <v>6</v>
      </c>
      <c r="C2" s="1" t="s">
        <v>12</v>
      </c>
      <c r="D2" s="1" t="s">
        <v>8</v>
      </c>
      <c r="E2" s="2">
        <v>150</v>
      </c>
      <c r="F2" t="s">
        <v>13</v>
      </c>
      <c r="G2">
        <f>LEN(F2)</f>
        <v>4</v>
      </c>
      <c r="H2" s="8" t="str">
        <f>IF(AND(B2="FEM",D2="AGR"),"la",
IF(AND(B2="FEM",D2="CON"),"",
IF(AND(B2="FEM",D2="DIS"),"el",
IF(AND(B2="MAS",D2="AGR"),"el",
IF(AND(B2="MAS",D2="CON"),"",
IF(AND(B2="MAS",D2="DIS"),"la","."))))))</f>
        <v>la</v>
      </c>
      <c r="I2" t="str">
        <f>IF(C2 = "NOWORD", "a", "l")</f>
        <v>a</v>
      </c>
    </row>
    <row r="3" spans="1:9" x14ac:dyDescent="0.3">
      <c r="A3" s="1">
        <v>1002</v>
      </c>
      <c r="B3" s="1" t="s">
        <v>6</v>
      </c>
      <c r="C3" s="1" t="s">
        <v>12</v>
      </c>
      <c r="D3" s="1" t="s">
        <v>7</v>
      </c>
      <c r="E3" s="2">
        <v>150</v>
      </c>
      <c r="F3" t="s">
        <v>14</v>
      </c>
      <c r="G3">
        <f t="shared" ref="G3:G11" si="0">LEN(F3)</f>
        <v>4</v>
      </c>
      <c r="H3" s="8" t="str">
        <f>IF(AND(B3="FEM",D3="AGR"),"la",
IF(AND(B3="FEM",D3="CON"),"",
IF(AND(B3="FEM",D3="DIS"),"el",
IF(AND(B3="MAS",D3="AGR"),"el",
IF(AND(B3="MAS",D3="CON"),"",
IF(AND(B3="MAS",D3="DIS"),"la","."))))))</f>
        <v>el</v>
      </c>
      <c r="I3" t="str">
        <f t="shared" ref="I3:I11" si="1">IF(C3 = "NOWORD", "a", "l")</f>
        <v>a</v>
      </c>
    </row>
    <row r="4" spans="1:9" x14ac:dyDescent="0.3">
      <c r="A4" s="1">
        <v>1003</v>
      </c>
      <c r="B4" s="1" t="s">
        <v>6</v>
      </c>
      <c r="C4" s="1" t="s">
        <v>12</v>
      </c>
      <c r="D4" s="1" t="s">
        <v>7</v>
      </c>
      <c r="E4" s="2">
        <v>150</v>
      </c>
      <c r="F4" t="s">
        <v>15</v>
      </c>
      <c r="G4">
        <f t="shared" si="0"/>
        <v>5</v>
      </c>
      <c r="H4" s="8" t="str">
        <f>IF(AND(B4="FEM",D4="AGR"),"la",
IF(AND(B4="FEM",D4="CON"),"",
IF(AND(B4="FEM",D4="DIS"),"el",
IF(AND(B4="MAS",D4="AGR"),"el",
IF(AND(B4="MAS",D4="CON"),"",
IF(AND(B4="MAS",D4="DIS"),"la","."))))))</f>
        <v>el</v>
      </c>
      <c r="I4" t="str">
        <f t="shared" si="1"/>
        <v>a</v>
      </c>
    </row>
    <row r="5" spans="1:9" x14ac:dyDescent="0.3">
      <c r="A5" s="1">
        <v>1004</v>
      </c>
      <c r="B5" s="1" t="s">
        <v>6</v>
      </c>
      <c r="C5" s="1" t="s">
        <v>12</v>
      </c>
      <c r="D5" s="1" t="s">
        <v>8</v>
      </c>
      <c r="E5" s="2">
        <v>150</v>
      </c>
      <c r="F5" t="s">
        <v>16</v>
      </c>
      <c r="G5">
        <f t="shared" si="0"/>
        <v>5</v>
      </c>
      <c r="H5" s="8" t="str">
        <f>IF(AND(B5="FEM",D5="AGR"),"la",
IF(AND(B5="FEM",D5="CON"),"",
IF(AND(B5="FEM",D5="DIS"),"el",
IF(AND(B5="MAS",D5="AGR"),"el",
IF(AND(B5="MAS",D5="CON"),"",
IF(AND(B5="MAS",D5="DIS"),"la","."))))))</f>
        <v>la</v>
      </c>
      <c r="I5" t="str">
        <f t="shared" si="1"/>
        <v>a</v>
      </c>
    </row>
    <row r="6" spans="1:9" x14ac:dyDescent="0.3">
      <c r="A6" s="1">
        <v>1005</v>
      </c>
      <c r="B6" s="1" t="s">
        <v>9</v>
      </c>
      <c r="C6" s="1" t="s">
        <v>12</v>
      </c>
      <c r="D6" s="1" t="s">
        <v>7</v>
      </c>
      <c r="E6" s="2">
        <v>150</v>
      </c>
      <c r="F6" t="s">
        <v>17</v>
      </c>
      <c r="G6">
        <f t="shared" si="0"/>
        <v>5</v>
      </c>
      <c r="H6" s="8" t="str">
        <f>IF(AND(B6="FEM",D6="AGR"),"la",
IF(AND(B6="FEM",D6="CON"),"",
IF(AND(B6="FEM",D6="DIS"),"el",
IF(AND(B6="MAS",D6="AGR"),"el",
IF(AND(B6="MAS",D6="CON"),"",
IF(AND(B6="MAS",D6="DIS"),"la","."))))))</f>
        <v>la</v>
      </c>
      <c r="I6" t="str">
        <f t="shared" si="1"/>
        <v>a</v>
      </c>
    </row>
    <row r="7" spans="1:9" x14ac:dyDescent="0.3">
      <c r="A7" s="1">
        <v>1006</v>
      </c>
      <c r="B7" s="1" t="s">
        <v>6</v>
      </c>
      <c r="C7" s="1" t="s">
        <v>18</v>
      </c>
      <c r="D7" s="1" t="s">
        <v>8</v>
      </c>
      <c r="E7" s="2">
        <v>150</v>
      </c>
      <c r="F7" t="s">
        <v>19</v>
      </c>
      <c r="G7">
        <f t="shared" si="0"/>
        <v>4</v>
      </c>
      <c r="H7" s="8" t="str">
        <f t="shared" ref="H7:H11" si="2">IF(AND(B7="FEM",D7="AGR"),"la",
IF(AND(B7="FEM",D7="CON"),"",
IF(AND(B7="FEM",D7="DIS"),"el",
IF(AND(B7="MAS",D7="AGR"),"el",
IF(AND(B7="MAS",D7="CON"),"",
IF(AND(B7="MAS",D7="DIS"),"la","."))))))</f>
        <v>la</v>
      </c>
      <c r="I7" t="str">
        <f t="shared" si="1"/>
        <v>l</v>
      </c>
    </row>
    <row r="8" spans="1:9" x14ac:dyDescent="0.3">
      <c r="A8" s="1">
        <v>1007</v>
      </c>
      <c r="B8" s="1" t="s">
        <v>9</v>
      </c>
      <c r="C8" s="1" t="s">
        <v>18</v>
      </c>
      <c r="D8" s="1" t="s">
        <v>7</v>
      </c>
      <c r="E8" s="2">
        <v>150</v>
      </c>
      <c r="F8" t="s">
        <v>20</v>
      </c>
      <c r="G8">
        <f t="shared" si="0"/>
        <v>4</v>
      </c>
      <c r="H8" s="8" t="str">
        <f t="shared" si="2"/>
        <v>la</v>
      </c>
      <c r="I8" t="str">
        <f t="shared" si="1"/>
        <v>l</v>
      </c>
    </row>
    <row r="9" spans="1:9" x14ac:dyDescent="0.3">
      <c r="A9" s="1">
        <v>1008</v>
      </c>
      <c r="B9" s="1" t="s">
        <v>9</v>
      </c>
      <c r="C9" s="1" t="s">
        <v>18</v>
      </c>
      <c r="D9" s="1" t="s">
        <v>7</v>
      </c>
      <c r="E9" s="2">
        <v>150</v>
      </c>
      <c r="F9" s="9" t="s">
        <v>21</v>
      </c>
      <c r="G9">
        <f t="shared" si="0"/>
        <v>4</v>
      </c>
      <c r="H9" s="8" t="str">
        <f t="shared" si="2"/>
        <v>la</v>
      </c>
      <c r="I9" t="str">
        <f t="shared" si="1"/>
        <v>l</v>
      </c>
    </row>
    <row r="10" spans="1:9" x14ac:dyDescent="0.3">
      <c r="A10" s="1">
        <v>1009</v>
      </c>
      <c r="B10" s="1" t="s">
        <v>6</v>
      </c>
      <c r="C10" s="1" t="s">
        <v>18</v>
      </c>
      <c r="D10" s="1" t="s">
        <v>8</v>
      </c>
      <c r="E10" s="2">
        <v>150</v>
      </c>
      <c r="F10" t="s">
        <v>22</v>
      </c>
      <c r="G10">
        <f t="shared" si="0"/>
        <v>5</v>
      </c>
      <c r="H10" s="8" t="str">
        <f t="shared" si="2"/>
        <v>la</v>
      </c>
      <c r="I10" t="str">
        <f t="shared" si="1"/>
        <v>l</v>
      </c>
    </row>
    <row r="11" spans="1:9" x14ac:dyDescent="0.3">
      <c r="A11" s="1">
        <v>1010</v>
      </c>
      <c r="B11" s="1" t="s">
        <v>9</v>
      </c>
      <c r="C11" s="1" t="s">
        <v>18</v>
      </c>
      <c r="D11" s="1" t="s">
        <v>7</v>
      </c>
      <c r="E11" s="2">
        <v>150</v>
      </c>
      <c r="F11" t="s">
        <v>23</v>
      </c>
      <c r="G11">
        <f t="shared" si="0"/>
        <v>5</v>
      </c>
      <c r="H11" s="8" t="str">
        <f t="shared" si="2"/>
        <v>la</v>
      </c>
      <c r="I11" t="str">
        <f t="shared" si="1"/>
        <v>l</v>
      </c>
    </row>
    <row r="12" spans="1:9" x14ac:dyDescent="0.3">
      <c r="A12" s="1"/>
      <c r="B12" s="4"/>
      <c r="C12" s="4"/>
      <c r="D12" s="1"/>
      <c r="E12"/>
      <c r="F12" s="5"/>
    </row>
    <row r="13" spans="1:9" x14ac:dyDescent="0.3">
      <c r="A13" s="1"/>
      <c r="B13" s="4"/>
      <c r="C13" s="4"/>
      <c r="D13" s="1"/>
      <c r="E13"/>
      <c r="F13" s="5"/>
    </row>
    <row r="14" spans="1:9" x14ac:dyDescent="0.3">
      <c r="A14" s="1"/>
      <c r="B14" s="4"/>
      <c r="C14" s="4"/>
      <c r="D14" s="1"/>
      <c r="E14"/>
      <c r="F14" s="5"/>
    </row>
    <row r="15" spans="1:9" x14ac:dyDescent="0.3">
      <c r="A15" s="1"/>
      <c r="B15" s="4"/>
      <c r="C15" s="4"/>
      <c r="D15" s="1"/>
      <c r="E15"/>
      <c r="F15" s="5"/>
    </row>
    <row r="16" spans="1:9" x14ac:dyDescent="0.3">
      <c r="A16" s="1"/>
      <c r="B16" s="4"/>
      <c r="C16" s="4"/>
      <c r="D16" s="1"/>
      <c r="E16"/>
      <c r="F16" s="5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</sheetData>
  <autoFilter ref="A1:I1" xr:uid="{61F89719-EFFF-476F-AC64-1B0BD54683B0}"/>
  <conditionalFormatting sqref="F1 G1:G11">
    <cfRule type="duplicateValues" dxfId="18" priority="19"/>
  </conditionalFormatting>
  <conditionalFormatting sqref="F2:F3">
    <cfRule type="duplicateValues" dxfId="17" priority="7"/>
    <cfRule type="duplicateValues" dxfId="16" priority="8"/>
    <cfRule type="duplicateValues" dxfId="15" priority="9"/>
    <cfRule type="duplicateValues" dxfId="14" priority="10"/>
  </conditionalFormatting>
  <conditionalFormatting sqref="F2:F6">
    <cfRule type="duplicateValues" dxfId="13" priority="11"/>
  </conditionalFormatting>
  <conditionalFormatting sqref="F4:F5">
    <cfRule type="duplicateValues" dxfId="12" priority="5"/>
    <cfRule type="duplicateValues" dxfId="11" priority="6"/>
  </conditionalFormatting>
  <conditionalFormatting sqref="F6">
    <cfRule type="duplicateValues" dxfId="10" priority="12"/>
  </conditionalFormatting>
  <conditionalFormatting sqref="F7:F8">
    <cfRule type="duplicateValues" dxfId="9" priority="13"/>
    <cfRule type="duplicateValues" dxfId="8" priority="14"/>
    <cfRule type="duplicateValues" dxfId="7" priority="15"/>
  </conditionalFormatting>
  <conditionalFormatting sqref="F7:F9">
    <cfRule type="duplicateValues" dxfId="6" priority="4"/>
  </conditionalFormatting>
  <conditionalFormatting sqref="F9">
    <cfRule type="duplicateValues" dxfId="5" priority="2"/>
    <cfRule type="duplicateValues" dxfId="4" priority="3"/>
  </conditionalFormatting>
  <conditionalFormatting sqref="F10:F11">
    <cfRule type="duplicateValues" dxfId="3" priority="1"/>
  </conditionalFormatting>
  <conditionalFormatting sqref="G2:G11">
    <cfRule type="duplicateValues" dxfId="2" priority="16"/>
    <cfRule type="duplicateValues" dxfId="1" priority="17"/>
    <cfRule type="duplicateValues" dxfId="0" priority="1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Serrano Carot</dc:creator>
  <cp:lastModifiedBy>Marina Serrano Carot</cp:lastModifiedBy>
  <dcterms:created xsi:type="dcterms:W3CDTF">2024-06-07T08:35:11Z</dcterms:created>
  <dcterms:modified xsi:type="dcterms:W3CDTF">2024-12-11T14:25:32Z</dcterms:modified>
</cp:coreProperties>
</file>