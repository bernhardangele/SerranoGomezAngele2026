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nhardangele/Documents/Experiments/semantic_flanker/"/>
    </mc:Choice>
  </mc:AlternateContent>
  <xr:revisionPtr revIDLastSave="0" documentId="13_ncr:1_{A059CB98-4F20-9B47-91C9-9E9AB194D72A}" xr6:coauthVersionLast="47" xr6:coauthVersionMax="47" xr10:uidLastSave="{00000000-0000-0000-0000-000000000000}"/>
  <bookViews>
    <workbookView xWindow="5960" yWindow="7300" windowWidth="27240" windowHeight="16440" xr2:uid="{86B14047-DD68-4844-B2B3-D3AC5BF41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<sst xmlns="http://schemas.openxmlformats.org/spreadsheetml/2006/main" count="53" uniqueCount="27">
  <si>
    <t>TrialID</t>
  </si>
  <si>
    <t>StimulusType</t>
  </si>
  <si>
    <t>Condition</t>
  </si>
  <si>
    <t>PrimeDuration</t>
  </si>
  <si>
    <t>Prime</t>
  </si>
  <si>
    <t>Flanker</t>
  </si>
  <si>
    <t>corrAns</t>
  </si>
  <si>
    <t>FEM</t>
  </si>
  <si>
    <t>AGR</t>
  </si>
  <si>
    <t>nuca</t>
  </si>
  <si>
    <t>pala</t>
  </si>
  <si>
    <t>DIS</t>
  </si>
  <si>
    <t>raya</t>
  </si>
  <si>
    <t>venta</t>
  </si>
  <si>
    <t>llama</t>
  </si>
  <si>
    <t>medusa</t>
  </si>
  <si>
    <t>trucha</t>
  </si>
  <si>
    <t>almeja</t>
  </si>
  <si>
    <t>MAS</t>
  </si>
  <si>
    <t>puerto</t>
  </si>
  <si>
    <t>vecino</t>
  </si>
  <si>
    <t>canal</t>
  </si>
  <si>
    <t>alce</t>
  </si>
  <si>
    <t>ciervo</t>
  </si>
  <si>
    <t>tejón</t>
  </si>
  <si>
    <t>hurón</t>
  </si>
  <si>
    <t>IsAnimal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</si>
</sst>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center"/>
    </xf>
    <xf numFmtId="0" fontId="1" fillId="0" borderId="0" xfId="0" applyFont="1"/>
    <xf numFmtId="49" fontId="1" fillId="0" borderId="0" xfId="0" applyNumberFormat="1" applyFont="1"/>
    <xf numFmtId="49" fontId="1" fillId="2" borderId="0" xfId="0" applyNumberFormat="1" applyFont="1" applyFill="1"/>
    <xf numFmtId="0" fontId="1" fillId="3" borderId="0" xfId="0" applyFont="1" applyFill="1"/>
    <xf numFmtId="0" fontId="1" fillId="0" borderId="0" xfId="0" quotePrefix="1" applyFont="1" applyAlignment="1">
      <alignment horizontal="center" vertical="center" wrapText="1"/>
    </xf>
    <xf numFmtId="0" fontId="1" fillId="2" borderId="0" xfId="0" applyNumberFormat="1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43DA-4724-784B-BD28-35D7BB191F1E}">
  <dimension ref="A1:H16"/>
  <sheetViews>
    <sheetView tabSelected="1" workbookViewId="0">
      <selection activeCell="D8" sqref="D8"/>
    </sheetView>
  </sheetViews>
  <sheetFormatPr baseColWidth="10" defaultRowHeight="16" x14ac:dyDescent="0.2"/>
  <sheetData>
    <row r="1" spans="1:8" x14ac:dyDescent="0.2">
      <c r="A1" t="s">
        <v>0</v>
      </c>
      <c r="B1" s="1" t="s">
        <v>1</v>
      </c>
      <c r="C1" s="1" t="s">
        <v>2</v>
      </c>
      <c r="D1" s="1" t="s">
        <v>26</v>
      </c>
      <c r="E1" t="s">
        <v>3</v>
      </c>
      <c r="F1" s="2" t="s">
        <v>4</v>
      </c>
      <c r="G1" t="s">
        <v>5</v>
      </c>
      <c r="H1" t="s">
        <v>6</v>
      </c>
    </row>
    <row r="2" spans="1:8" x14ac:dyDescent="0.2">
      <c r="A2" s="3">
        <v>2001</v>
      </c>
      <c r="B2" s="4" t="s">
        <v>7</v>
      </c>
      <c r="C2" s="5" t="s">
        <v>8</v>
      </c>
      <c r="D2" s="8">
        <v>0</v>
      </c>
      <c r="E2" s="6">
        <v>150</v>
      </c>
      <c r="F2" t="s">
        <v>9</v>
      </c>
      <c r="G2" s="7" t="str">
        <f>IF(AND(B2="FEM",C2="AGR"),"la",
IF(AND(B2="FEM",C2="CON"),"",
IF(AND(B2="FEM",C2="DIS"),"el",
IF(AND(B2="MAS",C2="AGR"),"el",
IF(AND(B2="MAS",C2="CON"),"",
IF(AND(B2="MAS",C2="DIS"),"la","."))))))</f>
        <v>la</v>
      </c>
      <c r="H2" t="str">
        <f t="shared" ref="H2:H3" si="0">IF(D2 = "TRUE", "a", "l")</f>
        <v>l</v>
      </c>
    </row>
    <row r="3" spans="1:8" x14ac:dyDescent="0.2">
      <c r="A3" s="3">
        <v>2002</v>
      </c>
      <c r="B3" s="4" t="s">
        <v>7</v>
      </c>
      <c r="C3" s="5" t="s">
        <v>11</v>
      </c>
      <c r="D3" s="8">
        <v>0</v>
      </c>
      <c r="E3" s="6">
        <v>150</v>
      </c>
      <c r="F3" t="s">
        <v>10</v>
      </c>
      <c r="G3" s="7" t="str">
        <f t="shared" ref="G3:G16" si="1">IF(AND(B3="FEM",C3="AGR"),"la",
IF(AND(B3="FEM",C3="CON"),"",
IF(AND(B3="FEM",C3="DIS"),"el",
IF(AND(B3="MAS",C3="AGR"),"el",
IF(AND(B3="MAS",C3="CON"),"",
IF(AND(B3="MAS",C3="DIS"),"la","."))))))</f>
        <v>el</v>
      </c>
      <c r="H3" t="str">
        <f t="shared" si="0"/>
        <v>l</v>
      </c>
    </row>
    <row r="4" spans="1:8" x14ac:dyDescent="0.2">
      <c r="A4" s="3">
        <v>2003</v>
      </c>
      <c r="B4" s="4" t="s">
        <v>7</v>
      </c>
      <c r="C4" s="5" t="s">
        <v>8</v>
      </c>
      <c r="D4" s="8">
        <v>1</v>
      </c>
      <c r="E4" s="6">
        <v>150</v>
      </c>
      <c r="F4" t="s">
        <v>12</v>
      </c>
      <c r="G4" s="7" t="str">
        <f t="shared" si="1"/>
        <v>la</v>
      </c>
      <c r="H4" t="str">
        <f>IF(D4 = "TRUE", "a", "l")</f>
        <v>l</v>
      </c>
    </row>
    <row r="5" spans="1:8" x14ac:dyDescent="0.2">
      <c r="A5" s="3">
        <v>2004</v>
      </c>
      <c r="B5" s="4" t="s">
        <v>7</v>
      </c>
      <c r="C5" s="5" t="s">
        <v>11</v>
      </c>
      <c r="D5" s="8">
        <v>0</v>
      </c>
      <c r="E5" s="6">
        <v>150</v>
      </c>
      <c r="F5" t="s">
        <v>13</v>
      </c>
      <c r="G5" s="7" t="str">
        <f t="shared" si="1"/>
        <v>el</v>
      </c>
      <c r="H5" t="str">
        <f t="shared" ref="H5:H16" si="2">IF(D5 = "TRUE", "a", "l")</f>
        <v>l</v>
      </c>
    </row>
    <row r="6" spans="1:8" x14ac:dyDescent="0.2">
      <c r="A6" s="3">
        <v>2005</v>
      </c>
      <c r="B6" s="4" t="s">
        <v>7</v>
      </c>
      <c r="C6" s="5" t="s">
        <v>8</v>
      </c>
      <c r="D6" s="8">
        <v>1</v>
      </c>
      <c r="E6" s="6">
        <v>150</v>
      </c>
      <c r="F6" t="s">
        <v>14</v>
      </c>
      <c r="G6" s="7" t="str">
        <f t="shared" si="1"/>
        <v>la</v>
      </c>
      <c r="H6" t="str">
        <f t="shared" si="2"/>
        <v>l</v>
      </c>
    </row>
    <row r="7" spans="1:8" x14ac:dyDescent="0.2">
      <c r="A7" s="3">
        <v>2006</v>
      </c>
      <c r="B7" s="4" t="s">
        <v>7</v>
      </c>
      <c r="C7" s="5" t="s">
        <v>11</v>
      </c>
      <c r="D7" s="8">
        <v>1</v>
      </c>
      <c r="E7" s="6">
        <v>150</v>
      </c>
      <c r="F7" t="s">
        <v>15</v>
      </c>
      <c r="G7" s="7" t="str">
        <f t="shared" si="1"/>
        <v>el</v>
      </c>
      <c r="H7" t="str">
        <f t="shared" si="2"/>
        <v>l</v>
      </c>
    </row>
    <row r="8" spans="1:8" x14ac:dyDescent="0.2">
      <c r="A8" s="3">
        <v>2007</v>
      </c>
      <c r="B8" s="4" t="s">
        <v>7</v>
      </c>
      <c r="C8" s="5" t="s">
        <v>8</v>
      </c>
      <c r="D8" s="8">
        <v>1</v>
      </c>
      <c r="E8" s="6">
        <v>150</v>
      </c>
      <c r="F8" t="s">
        <v>16</v>
      </c>
      <c r="G8" s="7" t="str">
        <f t="shared" si="1"/>
        <v>la</v>
      </c>
      <c r="H8" t="str">
        <f t="shared" si="2"/>
        <v>l</v>
      </c>
    </row>
    <row r="9" spans="1:8" x14ac:dyDescent="0.2">
      <c r="A9" s="3">
        <v>2008</v>
      </c>
      <c r="B9" s="4" t="s">
        <v>7</v>
      </c>
      <c r="C9" s="5" t="s">
        <v>11</v>
      </c>
      <c r="D9" s="8">
        <v>1</v>
      </c>
      <c r="E9" s="6">
        <v>150</v>
      </c>
      <c r="F9" t="s">
        <v>17</v>
      </c>
      <c r="G9" s="7" t="str">
        <f t="shared" si="1"/>
        <v>el</v>
      </c>
      <c r="H9" t="str">
        <f t="shared" si="2"/>
        <v>l</v>
      </c>
    </row>
    <row r="10" spans="1:8" x14ac:dyDescent="0.2">
      <c r="A10" s="3">
        <v>2009</v>
      </c>
      <c r="B10" s="4" t="s">
        <v>18</v>
      </c>
      <c r="C10" s="5" t="s">
        <v>8</v>
      </c>
      <c r="D10" s="8">
        <v>0</v>
      </c>
      <c r="E10" s="6">
        <v>150</v>
      </c>
      <c r="F10" t="s">
        <v>19</v>
      </c>
      <c r="G10" s="7" t="str">
        <f t="shared" si="1"/>
        <v>el</v>
      </c>
      <c r="H10" t="str">
        <f t="shared" si="2"/>
        <v>l</v>
      </c>
    </row>
    <row r="11" spans="1:8" x14ac:dyDescent="0.2">
      <c r="A11" s="3">
        <v>2010</v>
      </c>
      <c r="B11" s="4" t="s">
        <v>18</v>
      </c>
      <c r="C11" s="5" t="s">
        <v>11</v>
      </c>
      <c r="D11" s="8">
        <v>0</v>
      </c>
      <c r="E11" s="6">
        <v>150</v>
      </c>
      <c r="F11" t="s">
        <v>20</v>
      </c>
      <c r="G11" s="7" t="str">
        <f t="shared" si="1"/>
        <v>la</v>
      </c>
      <c r="H11" t="str">
        <f t="shared" si="2"/>
        <v>l</v>
      </c>
    </row>
    <row r="12" spans="1:8" x14ac:dyDescent="0.2">
      <c r="A12" s="3">
        <v>2011</v>
      </c>
      <c r="B12" s="4" t="s">
        <v>18</v>
      </c>
      <c r="C12" s="5" t="s">
        <v>8</v>
      </c>
      <c r="D12" s="8">
        <v>0</v>
      </c>
      <c r="E12" s="6">
        <v>150</v>
      </c>
      <c r="F12" t="s">
        <v>21</v>
      </c>
      <c r="G12" s="7" t="str">
        <f t="shared" si="1"/>
        <v>el</v>
      </c>
      <c r="H12" t="str">
        <f t="shared" si="2"/>
        <v>l</v>
      </c>
    </row>
    <row r="13" spans="1:8" x14ac:dyDescent="0.2">
      <c r="A13" s="3">
        <v>2012</v>
      </c>
      <c r="B13" s="4" t="s">
        <v>18</v>
      </c>
      <c r="C13" s="5" t="s">
        <v>11</v>
      </c>
      <c r="D13" s="8">
        <v>1</v>
      </c>
      <c r="E13" s="6">
        <v>150</v>
      </c>
      <c r="F13" t="s">
        <v>22</v>
      </c>
      <c r="G13" s="7" t="str">
        <f t="shared" si="1"/>
        <v>la</v>
      </c>
      <c r="H13" t="str">
        <f t="shared" si="2"/>
        <v>l</v>
      </c>
    </row>
    <row r="14" spans="1:8" x14ac:dyDescent="0.2">
      <c r="A14" s="3">
        <v>2013</v>
      </c>
      <c r="B14" s="4" t="s">
        <v>18</v>
      </c>
      <c r="C14" s="5" t="s">
        <v>8</v>
      </c>
      <c r="D14" s="8">
        <v>1</v>
      </c>
      <c r="E14" s="6">
        <v>150</v>
      </c>
      <c r="F14" t="s">
        <v>23</v>
      </c>
      <c r="G14" s="7" t="str">
        <f>IF(AND(B14="FEM",C14="AGR"),"la",
IF(AND(B14="FEM",C14="CON"),"",
IF(AND(B14="FEM",C14="DIS"),"el",
IF(AND(B14="MAS",C14="AGR"),"el",
IF(AND(B14="MAS",C14="CON"),"",
IF(AND(B14="MAS",C14="DIS"),"la","."))))))</f>
        <v>el</v>
      </c>
      <c r="H14" t="str">
        <f t="shared" si="2"/>
        <v>l</v>
      </c>
    </row>
    <row r="15" spans="1:8" x14ac:dyDescent="0.2">
      <c r="A15" s="3">
        <v>2014</v>
      </c>
      <c r="B15" s="4" t="s">
        <v>18</v>
      </c>
      <c r="C15" s="5" t="s">
        <v>11</v>
      </c>
      <c r="D15" s="8">
        <v>1</v>
      </c>
      <c r="E15" s="6">
        <v>150</v>
      </c>
      <c r="F15" t="s">
        <v>24</v>
      </c>
      <c r="G15" s="7" t="str">
        <f t="shared" si="1"/>
        <v>la</v>
      </c>
      <c r="H15" t="str">
        <f t="shared" si="2"/>
        <v>l</v>
      </c>
    </row>
    <row r="16" spans="1:8" x14ac:dyDescent="0.2">
      <c r="A16" s="3">
        <v>2015</v>
      </c>
      <c r="B16" s="4" t="s">
        <v>18</v>
      </c>
      <c r="C16" s="5" t="s">
        <v>8</v>
      </c>
      <c r="D16" s="8">
        <v>1</v>
      </c>
      <c r="E16" s="6">
        <v>150</v>
      </c>
      <c r="F16" t="s">
        <v>25</v>
      </c>
      <c r="G16" s="7" t="str">
        <f t="shared" si="1"/>
        <v>el</v>
      </c>
      <c r="H16" t="str">
        <f t="shared" si="2"/>
        <v>l</v>
      </c>
    </row>
  </sheetData>
  <conditionalFormatting sqref="F2:F5">
    <cfRule type="duplicateValues" dxfId="1" priority="2"/>
  </conditionalFormatting>
  <conditionalFormatting sqref="F6:F1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Angele</dc:creator>
  <cp:lastModifiedBy>Bernhard Angele</cp:lastModifiedBy>
  <dcterms:created xsi:type="dcterms:W3CDTF">2025-03-13T14:21:28Z</dcterms:created>
  <dcterms:modified xsi:type="dcterms:W3CDTF">2025-03-13T16:32:52Z</dcterms:modified>
</cp:coreProperties>
</file>