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flanker_pavlov/"/>
    </mc:Choice>
  </mc:AlternateContent>
  <xr:revisionPtr revIDLastSave="158" documentId="8_{A184A074-5182-48E5-AE6B-A26BDCDE9F45}" xr6:coauthVersionLast="47" xr6:coauthVersionMax="47" xr10:uidLastSave="{9FD62F9B-9218-48B0-9908-33CA0BC5F2EA}"/>
  <bookViews>
    <workbookView xWindow="2652" yWindow="2652" windowWidth="17280" windowHeight="8880" xr2:uid="{04ACAFB7-F015-4ED4-8348-4D30383DC121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<sst xmlns="http://schemas.openxmlformats.org/spreadsheetml/2006/main" count="67" uniqueCount="29">
  <si>
    <t>TrialID</t>
  </si>
  <si>
    <t>StimulusType</t>
  </si>
  <si>
    <t>Condition</t>
  </si>
  <si>
    <t>PrimeDuration</t>
  </si>
  <si>
    <t>Prime</t>
  </si>
  <si>
    <t>corrAns</t>
  </si>
  <si>
    <t>FEM</t>
  </si>
  <si>
    <t>DIS</t>
  </si>
  <si>
    <t>AGR</t>
  </si>
  <si>
    <t>CON</t>
  </si>
  <si>
    <t>MAS</t>
  </si>
  <si>
    <t>Flanker</t>
  </si>
  <si>
    <t>a</t>
  </si>
  <si>
    <t>l</t>
  </si>
  <si>
    <t>nuca</t>
  </si>
  <si>
    <t>pala</t>
  </si>
  <si>
    <t>daga</t>
  </si>
  <si>
    <t>venta</t>
  </si>
  <si>
    <t>placa</t>
  </si>
  <si>
    <t>serie</t>
  </si>
  <si>
    <t>navaja</t>
  </si>
  <si>
    <t>siesta</t>
  </si>
  <si>
    <t>puerto</t>
  </si>
  <si>
    <t>vecino</t>
  </si>
  <si>
    <t>canal</t>
  </si>
  <si>
    <t>clima</t>
  </si>
  <si>
    <t>acero</t>
  </si>
  <si>
    <t>robot</t>
  </si>
  <si>
    <t>siglo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</si>
</sst>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3" borderId="0" xfId="0" applyFont="1" applyFill="1"/>
    <xf numFmtId="49" fontId="0" fillId="0" borderId="0" xfId="0" applyNumberFormat="1"/>
    <xf numFmtId="49" fontId="1" fillId="0" borderId="0" xfId="0" applyNumberFormat="1" applyFont="1"/>
    <xf numFmtId="49" fontId="1" fillId="2" borderId="0" xfId="0" applyNumberFormat="1" applyFont="1" applyFill="1"/>
    <xf numFmtId="0" fontId="1" fillId="0" borderId="0" xfId="0" quotePrefix="1" applyFont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9719-EFFF-476F-AC64-1B0BD54683B0}">
  <dimension ref="A1:G451"/>
  <sheetViews>
    <sheetView tabSelected="1" topLeftCell="A10" zoomScale="130" zoomScaleNormal="130" workbookViewId="0">
      <selection activeCell="E17" sqref="E17"/>
    </sheetView>
  </sheetViews>
  <sheetFormatPr defaultRowHeight="14.4" x14ac:dyDescent="0.3"/>
  <cols>
    <col min="2" max="2" width="12.88671875" style="3" customWidth="1"/>
    <col min="3" max="3" width="8.88671875" style="3"/>
    <col min="4" max="4" width="13.88671875" customWidth="1"/>
    <col min="5" max="5" width="15.33203125" style="7" customWidth="1"/>
    <col min="6" max="6" width="15.33203125" customWidth="1"/>
  </cols>
  <sheetData>
    <row r="1" spans="1:7" x14ac:dyDescent="0.3">
      <c r="A1" t="s">
        <v>0</v>
      </c>
      <c r="B1" s="3" t="s">
        <v>1</v>
      </c>
      <c r="C1" s="3" t="s">
        <v>2</v>
      </c>
      <c r="D1" t="s">
        <v>3</v>
      </c>
      <c r="E1" s="7" t="s">
        <v>4</v>
      </c>
      <c r="F1" t="s">
        <v>11</v>
      </c>
      <c r="G1" t="s">
        <v>5</v>
      </c>
    </row>
    <row r="2" spans="1:7" x14ac:dyDescent="0.3">
      <c r="A2" s="1">
        <v>2001</v>
      </c>
      <c r="B2" s="4" t="s">
        <v>6</v>
      </c>
      <c r="C2" s="5" t="s">
        <v>8</v>
      </c>
      <c r="D2" s="2">
        <v>150</v>
      </c>
      <c r="E2" t="s">
        <v>14</v>
      </c>
      <c r="F2" s="6" t="str">
        <f>IF(AND(B2="FEM",C2="AGR"),"la",
IF(AND(B2="FEM",C2="CON"),"",
IF(AND(B2="FEM",C2="DIS"),"el",
IF(AND(B2="MAS",C2="AGR"),"el",
IF(AND(B2="MAS",C2="CON"),"",
IF(AND(B2="MAS",C2="DIS"),"la","."))))))</f>
        <v>la</v>
      </c>
      <c r="G2" t="s">
        <v>12</v>
      </c>
    </row>
    <row r="3" spans="1:7" x14ac:dyDescent="0.3">
      <c r="A3" s="1">
        <v>2002</v>
      </c>
      <c r="B3" s="4" t="s">
        <v>6</v>
      </c>
      <c r="C3" s="5" t="s">
        <v>9</v>
      </c>
      <c r="D3" s="2">
        <v>150</v>
      </c>
      <c r="E3" t="s">
        <v>15</v>
      </c>
      <c r="F3" s="6" t="str">
        <f t="shared" ref="F3:F16" si="0">IF(AND(B3="FEM",C3="AGR"),"la",
IF(AND(B3="FEM",C3="CON"),"",
IF(AND(B3="FEM",C3="DIS"),"el",
IF(AND(B3="MAS",C3="AGR"),"el",
IF(AND(B3="MAS",C3="CON"),"",
IF(AND(B3="MAS",C3="DIS"),"la","."))))))</f>
        <v/>
      </c>
      <c r="G3" t="s">
        <v>12</v>
      </c>
    </row>
    <row r="4" spans="1:7" x14ac:dyDescent="0.3">
      <c r="A4" s="1">
        <v>2003</v>
      </c>
      <c r="B4" s="4" t="s">
        <v>6</v>
      </c>
      <c r="C4" s="5" t="s">
        <v>7</v>
      </c>
      <c r="D4" s="2">
        <v>150</v>
      </c>
      <c r="E4" t="s">
        <v>16</v>
      </c>
      <c r="F4" s="6" t="str">
        <f t="shared" si="0"/>
        <v>el</v>
      </c>
      <c r="G4" t="s">
        <v>12</v>
      </c>
    </row>
    <row r="5" spans="1:7" x14ac:dyDescent="0.3">
      <c r="A5" s="1">
        <v>2004</v>
      </c>
      <c r="B5" s="4" t="s">
        <v>6</v>
      </c>
      <c r="C5" s="5" t="s">
        <v>8</v>
      </c>
      <c r="D5" s="2">
        <v>150</v>
      </c>
      <c r="E5" t="s">
        <v>17</v>
      </c>
      <c r="F5" s="6" t="str">
        <f t="shared" si="0"/>
        <v>la</v>
      </c>
      <c r="G5" t="s">
        <v>12</v>
      </c>
    </row>
    <row r="6" spans="1:7" x14ac:dyDescent="0.3">
      <c r="A6" s="1">
        <v>2005</v>
      </c>
      <c r="B6" s="4" t="s">
        <v>6</v>
      </c>
      <c r="C6" s="5" t="s">
        <v>9</v>
      </c>
      <c r="D6" s="2">
        <v>150</v>
      </c>
      <c r="E6" t="s">
        <v>18</v>
      </c>
      <c r="F6" s="6" t="str">
        <f t="shared" si="0"/>
        <v/>
      </c>
      <c r="G6" t="s">
        <v>12</v>
      </c>
    </row>
    <row r="7" spans="1:7" x14ac:dyDescent="0.3">
      <c r="A7" s="1">
        <v>2006</v>
      </c>
      <c r="B7" s="4" t="s">
        <v>6</v>
      </c>
      <c r="C7" s="5" t="s">
        <v>7</v>
      </c>
      <c r="D7" s="2">
        <v>150</v>
      </c>
      <c r="E7" t="s">
        <v>19</v>
      </c>
      <c r="F7" s="6" t="str">
        <f t="shared" si="0"/>
        <v>el</v>
      </c>
      <c r="G7" t="s">
        <v>12</v>
      </c>
    </row>
    <row r="8" spans="1:7" x14ac:dyDescent="0.3">
      <c r="A8" s="1">
        <v>2007</v>
      </c>
      <c r="B8" s="4" t="s">
        <v>6</v>
      </c>
      <c r="C8" s="5" t="s">
        <v>8</v>
      </c>
      <c r="D8" s="2">
        <v>150</v>
      </c>
      <c r="E8" t="s">
        <v>20</v>
      </c>
      <c r="F8" s="6" t="str">
        <f t="shared" si="0"/>
        <v>la</v>
      </c>
      <c r="G8" t="s">
        <v>12</v>
      </c>
    </row>
    <row r="9" spans="1:7" x14ac:dyDescent="0.3">
      <c r="A9" s="1">
        <v>2008</v>
      </c>
      <c r="B9" s="4" t="s">
        <v>6</v>
      </c>
      <c r="C9" s="5" t="s">
        <v>9</v>
      </c>
      <c r="D9" s="2">
        <v>150</v>
      </c>
      <c r="E9" t="s">
        <v>21</v>
      </c>
      <c r="F9" s="6" t="str">
        <f t="shared" si="0"/>
        <v/>
      </c>
      <c r="G9" t="s">
        <v>12</v>
      </c>
    </row>
    <row r="10" spans="1:7" x14ac:dyDescent="0.3">
      <c r="A10" s="1">
        <v>2009</v>
      </c>
      <c r="B10" s="4" t="s">
        <v>10</v>
      </c>
      <c r="C10" s="5" t="s">
        <v>7</v>
      </c>
      <c r="D10" s="2">
        <v>150</v>
      </c>
      <c r="E10" t="s">
        <v>22</v>
      </c>
      <c r="F10" s="6" t="str">
        <f t="shared" si="0"/>
        <v>la</v>
      </c>
      <c r="G10" t="s">
        <v>13</v>
      </c>
    </row>
    <row r="11" spans="1:7" x14ac:dyDescent="0.3">
      <c r="A11" s="1">
        <v>2010</v>
      </c>
      <c r="B11" s="4" t="s">
        <v>10</v>
      </c>
      <c r="C11" s="5" t="s">
        <v>8</v>
      </c>
      <c r="D11" s="2">
        <v>150</v>
      </c>
      <c r="E11" t="s">
        <v>23</v>
      </c>
      <c r="F11" s="6" t="str">
        <f t="shared" si="0"/>
        <v>el</v>
      </c>
      <c r="G11" t="s">
        <v>13</v>
      </c>
    </row>
    <row r="12" spans="1:7" x14ac:dyDescent="0.3">
      <c r="A12" s="1">
        <v>2011</v>
      </c>
      <c r="B12" s="4" t="s">
        <v>10</v>
      </c>
      <c r="C12" s="5" t="s">
        <v>9</v>
      </c>
      <c r="D12" s="2">
        <v>150</v>
      </c>
      <c r="E12" t="s">
        <v>24</v>
      </c>
      <c r="F12" s="6" t="str">
        <f t="shared" si="0"/>
        <v/>
      </c>
      <c r="G12" t="s">
        <v>13</v>
      </c>
    </row>
    <row r="13" spans="1:7" x14ac:dyDescent="0.3">
      <c r="A13" s="1">
        <v>2012</v>
      </c>
      <c r="B13" s="4" t="s">
        <v>10</v>
      </c>
      <c r="C13" s="5" t="s">
        <v>7</v>
      </c>
      <c r="D13" s="2">
        <v>150</v>
      </c>
      <c r="E13" t="s">
        <v>25</v>
      </c>
      <c r="F13" s="6" t="str">
        <f t="shared" si="0"/>
        <v>la</v>
      </c>
      <c r="G13" t="s">
        <v>13</v>
      </c>
    </row>
    <row r="14" spans="1:7" x14ac:dyDescent="0.3">
      <c r="A14" s="1">
        <v>2013</v>
      </c>
      <c r="B14" s="4" t="s">
        <v>10</v>
      </c>
      <c r="C14" s="5" t="s">
        <v>8</v>
      </c>
      <c r="D14" s="2">
        <v>150</v>
      </c>
      <c r="E14" t="s">
        <v>26</v>
      </c>
      <c r="F14" s="6" t="str">
        <f>IF(AND(B14="FEM",C14="AGR"),"la",
IF(AND(B14="FEM",C14="CON"),"",
IF(AND(B14="FEM",C14="DIS"),"el",
IF(AND(B14="MAS",C14="AGR"),"el",
IF(AND(B14="MAS",C14="CON"),"",
IF(AND(B14="MAS",C14="DIS"),"la","."))))))</f>
        <v>el</v>
      </c>
      <c r="G14" t="s">
        <v>13</v>
      </c>
    </row>
    <row r="15" spans="1:7" x14ac:dyDescent="0.3">
      <c r="A15" s="1">
        <v>2014</v>
      </c>
      <c r="B15" s="4" t="s">
        <v>10</v>
      </c>
      <c r="C15" s="5" t="s">
        <v>9</v>
      </c>
      <c r="D15" s="2">
        <v>150</v>
      </c>
      <c r="E15" t="s">
        <v>28</v>
      </c>
      <c r="F15" s="6" t="str">
        <f t="shared" si="0"/>
        <v/>
      </c>
      <c r="G15" t="s">
        <v>13</v>
      </c>
    </row>
    <row r="16" spans="1:7" x14ac:dyDescent="0.3">
      <c r="A16" s="1">
        <v>2015</v>
      </c>
      <c r="B16" s="4" t="s">
        <v>10</v>
      </c>
      <c r="C16" s="5" t="s">
        <v>7</v>
      </c>
      <c r="D16" s="2">
        <v>150</v>
      </c>
      <c r="E16" t="s">
        <v>27</v>
      </c>
      <c r="F16" s="6" t="str">
        <f t="shared" si="0"/>
        <v>la</v>
      </c>
      <c r="G16" t="s">
        <v>13</v>
      </c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</sheetData>
  <autoFilter ref="A1:G1" xr:uid="{61F89719-EFFF-476F-AC64-1B0BD54683B0}"/>
  <conditionalFormatting sqref="E2:E5">
    <cfRule type="duplicateValues" dxfId="1" priority="2"/>
  </conditionalFormatting>
  <conditionalFormatting sqref="E6:E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2024-06-07T08:35:11Z</dcterms:created>
  <dcterms:modified xsi:type="dcterms:W3CDTF">2024-09-24T12:55:15Z</dcterms:modified>
</cp:coreProperties>
</file>